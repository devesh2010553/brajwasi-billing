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 activeTab="2"/>
  </bookViews>
  <sheets>
    <sheet name="UP80JT4509" sheetId="1" r:id="rId1"/>
    <sheet name="UP80JT7912" sheetId="2" r:id="rId2"/>
    <sheet name="UP79AT9051" sheetId="3" r:id="rId3"/>
  </sheets>
  <calcPr calcId="144525"/>
</workbook>
</file>

<file path=xl/calcChain.xml><?xml version="1.0" encoding="utf-8"?>
<calcChain xmlns="http://schemas.openxmlformats.org/spreadsheetml/2006/main">
  <c r="G43" i="3" l="1"/>
  <c r="G42" i="3"/>
  <c r="G41" i="3"/>
  <c r="E40" i="3"/>
  <c r="G40" i="3" s="1"/>
  <c r="G45" i="3" s="1"/>
  <c r="G39" i="3"/>
  <c r="H36" i="3"/>
  <c r="E36" i="3"/>
  <c r="G43" i="2"/>
  <c r="G42" i="2"/>
  <c r="G41" i="2"/>
  <c r="G39" i="2"/>
  <c r="H36" i="2"/>
  <c r="E40" i="2" s="1"/>
  <c r="G40" i="2" s="1"/>
  <c r="G45" i="2" s="1"/>
  <c r="E36" i="2"/>
  <c r="G43" i="1"/>
  <c r="G42" i="1"/>
  <c r="G41" i="1"/>
  <c r="G39" i="1"/>
  <c r="H36" i="1"/>
  <c r="E40" i="1" s="1"/>
  <c r="G40" i="1" s="1"/>
  <c r="E36" i="1"/>
  <c r="G45" i="1" l="1"/>
</calcChain>
</file>

<file path=xl/sharedStrings.xml><?xml version="1.0" encoding="utf-8"?>
<sst xmlns="http://schemas.openxmlformats.org/spreadsheetml/2006/main" count="90" uniqueCount="34">
  <si>
    <t>BRAJWASI TRAVELS</t>
  </si>
  <si>
    <t>Plot No. 42 Deep Nagar Phase-2, Dehtora Road, Bodla, Agar, 282007</t>
  </si>
  <si>
    <t xml:space="preserve"> Vehicle Bill for the period from 1st February 2025 to 29nt February 2025</t>
  </si>
  <si>
    <t>Vehicle Reg. No.  :  UP80JT4509</t>
  </si>
  <si>
    <t xml:space="preserve">      User Name / Dept. : Mr. Ghanshyam (S&amp;T)</t>
  </si>
  <si>
    <t>Vehicle type : Ertiga</t>
  </si>
  <si>
    <t>Slice / Location :  Tudla</t>
  </si>
  <si>
    <t>SL.NO.</t>
  </si>
  <si>
    <t>DATE</t>
  </si>
  <si>
    <t>READING (KM)</t>
  </si>
  <si>
    <t>TOTAL RUNS</t>
  </si>
  <si>
    <t>TIMING</t>
  </si>
  <si>
    <t>OT. HRS</t>
  </si>
  <si>
    <t>REMARKS</t>
  </si>
  <si>
    <t>OPENING</t>
  </si>
  <si>
    <t>CLOSING</t>
  </si>
  <si>
    <t>(KM)</t>
  </si>
  <si>
    <t>(After 12 hrs)</t>
  </si>
  <si>
    <t>TOTAL:</t>
  </si>
  <si>
    <t xml:space="preserve">Payment Details      </t>
  </si>
  <si>
    <t>Amount for 30 Days per 3000 K.M.</t>
  </si>
  <si>
    <t xml:space="preserve">Extra Kms </t>
  </si>
  <si>
    <t>OT hrs</t>
  </si>
  <si>
    <t>Sunday</t>
  </si>
  <si>
    <t>Holiday</t>
  </si>
  <si>
    <t>Night charge</t>
  </si>
  <si>
    <t>Toll Tax</t>
  </si>
  <si>
    <t>Grand Total</t>
  </si>
  <si>
    <t>Vehicle Reg. No.  :  UP80JT7912</t>
  </si>
  <si>
    <t xml:space="preserve">      User Name / Dept. : Mr. Raju Sen(S&amp;T)</t>
  </si>
  <si>
    <t>Slice / Location :  Aligarh</t>
  </si>
  <si>
    <t>Vehicle Reg. No.  :  UP79AT9051</t>
  </si>
  <si>
    <t xml:space="preserve">         User Name / Dept. : Mr. Abhishek (S&amp;T)</t>
  </si>
  <si>
    <t>Slice / Location :  Divyapur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</si>
</sst>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9" tint="-0.249977111117893"/>
      <name val="Algerian"/>
      <family val="5"/>
    </font>
    <font>
      <b/>
      <sz val="11"/>
      <color theme="9" tint="-0.249977111117893"/>
      <name val="Algerian"/>
      <family val="5"/>
    </font>
    <font>
      <b/>
      <sz val="10"/>
      <color indexed="8"/>
      <name val="Cambria"/>
      <family val="1"/>
      <scheme val="major"/>
    </font>
    <font>
      <b/>
      <sz val="1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63">
    <xf numFmtId="0" fontId="0" fillId="0" borderId="0" xfId="0"/>
    <xf numFmtId="0" fontId="5" fillId="2" borderId="0" xfId="2" quotePrefix="1" applyFont="1" applyFill="1" applyAlignment="1">
      <alignment horizontal="left" vertical="center"/>
    </xf>
    <xf numFmtId="0" fontId="6" fillId="2" borderId="0" xfId="3" applyFont="1" applyFill="1" applyAlignment="1">
      <alignment horizontal="left"/>
    </xf>
    <xf numFmtId="0" fontId="4" fillId="4" borderId="3" xfId="3" applyFont="1" applyFill="1" applyBorder="1" applyAlignment="1">
      <alignment horizontal="center" vertical="center"/>
    </xf>
    <xf numFmtId="0" fontId="7" fillId="4" borderId="3" xfId="3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1" fillId="4" borderId="4" xfId="3" applyFont="1" applyFill="1" applyBorder="1" applyAlignment="1">
      <alignment horizontal="center" vertical="center"/>
    </xf>
    <xf numFmtId="0" fontId="12" fillId="4" borderId="4" xfId="3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5" fillId="2" borderId="9" xfId="2" applyFont="1" applyFill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0" fontId="0" fillId="0" borderId="0" xfId="0" applyNumberFormat="1"/>
    <xf numFmtId="18" fontId="0" fillId="0" borderId="0" xfId="0" applyNumberFormat="1"/>
    <xf numFmtId="46" fontId="0" fillId="0" borderId="0" xfId="0" applyNumberFormat="1"/>
    <xf numFmtId="0" fontId="0" fillId="3" borderId="1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4" xfId="3" applyFont="1" applyFill="1" applyBorder="1" applyAlignment="1">
      <alignment horizontal="center" vertical="center"/>
    </xf>
    <xf numFmtId="0" fontId="1" fillId="0" borderId="0" xfId="0" applyFont="1"/>
    <xf numFmtId="0" fontId="5" fillId="2" borderId="0" xfId="2" applyFont="1" applyFill="1" applyAlignment="1">
      <alignment vertical="center"/>
    </xf>
    <xf numFmtId="0" fontId="7" fillId="4" borderId="1" xfId="3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/>
    <xf numFmtId="0" fontId="0" fillId="0" borderId="10" xfId="0" applyBorder="1"/>
    <xf numFmtId="0" fontId="7" fillId="4" borderId="1" xfId="3" applyFont="1" applyFill="1" applyBorder="1" applyAlignment="1">
      <alignment horizontal="center" vertical="center"/>
    </xf>
    <xf numFmtId="0" fontId="0" fillId="0" borderId="5" xfId="0" applyBorder="1"/>
    <xf numFmtId="0" fontId="0" fillId="0" borderId="25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5" fillId="2" borderId="14" xfId="2" applyFont="1" applyFill="1" applyBorder="1" applyAlignment="1">
      <alignment horizontal="center" vertical="center"/>
    </xf>
    <xf numFmtId="0" fontId="0" fillId="0" borderId="6" xfId="0" applyBorder="1"/>
    <xf numFmtId="0" fontId="0" fillId="0" borderId="14" xfId="0" applyBorder="1" applyAlignment="1">
      <alignment horizontal="center" vertical="center"/>
    </xf>
    <xf numFmtId="0" fontId="4" fillId="2" borderId="28" xfId="2" applyFont="1" applyFill="1" applyBorder="1" applyAlignment="1">
      <alignment horizontal="center" vertical="center"/>
    </xf>
    <xf numFmtId="0" fontId="0" fillId="0" borderId="0" xfId="0"/>
    <xf numFmtId="0" fontId="0" fillId="0" borderId="10" xfId="0" applyBorder="1"/>
    <xf numFmtId="0" fontId="7" fillId="4" borderId="14" xfId="3" applyFont="1" applyFill="1" applyBorder="1" applyAlignment="1">
      <alignment horizontal="center" vertical="center"/>
    </xf>
    <xf numFmtId="0" fontId="0" fillId="0" borderId="12" xfId="0" applyBorder="1"/>
    <xf numFmtId="0" fontId="10" fillId="0" borderId="28" xfId="1" applyFont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left" vertical="center"/>
    </xf>
    <xf numFmtId="0" fontId="0" fillId="0" borderId="2" xfId="0" applyBorder="1"/>
    <xf numFmtId="0" fontId="0" fillId="0" borderId="4" xfId="0" applyBorder="1"/>
    <xf numFmtId="0" fontId="8" fillId="2" borderId="26" xfId="3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5" fillId="2" borderId="17" xfId="2" applyFont="1" applyFill="1" applyBorder="1" applyAlignment="1">
      <alignment horizontal="center" vertical="center"/>
    </xf>
    <xf numFmtId="0" fontId="0" fillId="0" borderId="17" xfId="0" applyBorder="1"/>
    <xf numFmtId="0" fontId="4" fillId="4" borderId="15" xfId="3" applyFont="1" applyFill="1" applyBorder="1" applyAlignment="1">
      <alignment horizontal="center" vertical="center"/>
    </xf>
    <xf numFmtId="0" fontId="0" fillId="0" borderId="13" xfId="0" applyBorder="1"/>
    <xf numFmtId="0" fontId="9" fillId="0" borderId="27" xfId="1" applyFont="1" applyBorder="1" applyAlignment="1">
      <alignment horizontal="center"/>
    </xf>
    <xf numFmtId="0" fontId="0" fillId="0" borderId="7" xfId="0" applyBorder="1"/>
    <xf numFmtId="0" fontId="0" fillId="0" borderId="8" xfId="0" applyBorder="1"/>
  </cellXfs>
  <cellStyles count="4">
    <cellStyle name="Normal" xfId="0" builtinId="0"/>
    <cellStyle name="Normal 2" xfId="3"/>
    <cellStyle name="Normal 3" xfId="1"/>
    <cellStyle name="Normal_Hired Conveyanc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zoomScaleNormal="100" workbookViewId="0">
      <selection activeCell="E31" sqref="E31"/>
    </sheetView>
  </sheetViews>
  <sheetFormatPr defaultRowHeight="15" x14ac:dyDescent="0.25"/>
  <cols>
    <col min="1" max="1" width="8.7109375" style="33" customWidth="1"/>
    <col min="2" max="2" width="10.140625" style="33" bestFit="1" customWidth="1"/>
    <col min="3" max="3" width="10.28515625" style="33" bestFit="1" customWidth="1"/>
    <col min="4" max="4" width="9.85546875" style="33" bestFit="1" customWidth="1"/>
    <col min="5" max="5" width="8.140625" style="33" bestFit="1" customWidth="1"/>
    <col min="6" max="6" width="9" style="33" bestFit="1" customWidth="1"/>
    <col min="7" max="7" width="8.85546875" style="33" bestFit="1" customWidth="1"/>
    <col min="8" max="8" width="12.7109375" style="33" bestFit="1" customWidth="1"/>
    <col min="9" max="9" width="13.85546875" style="33" bestFit="1" customWidth="1"/>
  </cols>
  <sheetData>
    <row r="1" spans="1:9" ht="21.75" customHeight="1" x14ac:dyDescent="0.35">
      <c r="A1" s="60" t="s">
        <v>0</v>
      </c>
      <c r="B1" s="61"/>
      <c r="C1" s="61"/>
      <c r="D1" s="61"/>
      <c r="E1" s="61"/>
      <c r="F1" s="61"/>
      <c r="G1" s="61"/>
      <c r="H1" s="61"/>
      <c r="I1" s="62"/>
    </row>
    <row r="2" spans="1:9" ht="15.75" customHeight="1" x14ac:dyDescent="0.25">
      <c r="A2" s="48" t="s">
        <v>1</v>
      </c>
      <c r="B2" s="44"/>
      <c r="C2" s="44"/>
      <c r="D2" s="44"/>
      <c r="E2" s="44"/>
      <c r="F2" s="44"/>
      <c r="G2" s="44"/>
      <c r="H2" s="44"/>
      <c r="I2" s="45"/>
    </row>
    <row r="3" spans="1:9" x14ac:dyDescent="0.25">
      <c r="A3" s="43" t="s">
        <v>2</v>
      </c>
      <c r="B3" s="44"/>
      <c r="C3" s="44"/>
      <c r="D3" s="44"/>
      <c r="E3" s="44"/>
      <c r="F3" s="44"/>
      <c r="G3" s="44"/>
      <c r="H3" s="44"/>
      <c r="I3" s="45"/>
    </row>
    <row r="4" spans="1:9" x14ac:dyDescent="0.25">
      <c r="A4" s="13" t="s">
        <v>3</v>
      </c>
      <c r="B4" s="30"/>
      <c r="C4" s="30"/>
      <c r="D4" s="30"/>
      <c r="E4" s="49" t="s">
        <v>4</v>
      </c>
      <c r="F4" s="44"/>
      <c r="G4" s="44"/>
      <c r="H4" s="44"/>
      <c r="I4" s="45"/>
    </row>
    <row r="5" spans="1:9" x14ac:dyDescent="0.25">
      <c r="A5" s="50" t="s">
        <v>5</v>
      </c>
      <c r="B5" s="51"/>
      <c r="C5" s="51"/>
      <c r="D5" s="1"/>
      <c r="E5" s="2"/>
      <c r="F5" s="56" t="s">
        <v>6</v>
      </c>
      <c r="G5" s="51"/>
      <c r="H5" s="51"/>
      <c r="I5" s="57"/>
    </row>
    <row r="6" spans="1:9" ht="28.5" customHeight="1" x14ac:dyDescent="0.25">
      <c r="A6" s="46" t="s">
        <v>7</v>
      </c>
      <c r="B6" s="35" t="s">
        <v>8</v>
      </c>
      <c r="C6" s="35" t="s">
        <v>9</v>
      </c>
      <c r="D6" s="36"/>
      <c r="E6" s="4" t="s">
        <v>10</v>
      </c>
      <c r="F6" s="35" t="s">
        <v>11</v>
      </c>
      <c r="G6" s="36"/>
      <c r="H6" s="3" t="s">
        <v>12</v>
      </c>
      <c r="I6" s="58" t="s">
        <v>13</v>
      </c>
    </row>
    <row r="7" spans="1:9" x14ac:dyDescent="0.25">
      <c r="A7" s="47"/>
      <c r="B7" s="52"/>
      <c r="C7" s="31" t="s">
        <v>14</v>
      </c>
      <c r="D7" s="31" t="s">
        <v>15</v>
      </c>
      <c r="E7" s="28" t="s">
        <v>16</v>
      </c>
      <c r="F7" s="6" t="s">
        <v>14</v>
      </c>
      <c r="G7" s="6" t="s">
        <v>15</v>
      </c>
      <c r="H7" s="7" t="s">
        <v>17</v>
      </c>
      <c r="I7" s="59"/>
    </row>
    <row r="8" spans="1:9" x14ac:dyDescent="0.25">
      <c r="A8" s="32">
        <v>1</v>
      </c>
      <c r="B8" s="9">
        <v>46054</v>
      </c>
      <c r="C8" s="27"/>
      <c r="D8" s="27"/>
      <c r="E8" s="27"/>
      <c r="F8" s="17"/>
      <c r="G8" s="17"/>
      <c r="H8" s="18"/>
      <c r="I8" s="19"/>
    </row>
    <row r="9" spans="1:9" x14ac:dyDescent="0.25">
      <c r="A9" s="32">
        <v>2</v>
      </c>
      <c r="B9" s="9">
        <v>46055</v>
      </c>
      <c r="C9" s="27"/>
      <c r="D9" s="27"/>
      <c r="E9" s="27"/>
      <c r="F9" s="17"/>
      <c r="G9" s="17"/>
      <c r="H9" s="18"/>
      <c r="I9" s="19"/>
    </row>
    <row r="10" spans="1:9" x14ac:dyDescent="0.25">
      <c r="A10" s="32">
        <v>3</v>
      </c>
      <c r="B10" s="9">
        <v>46056</v>
      </c>
      <c r="C10" s="27"/>
      <c r="D10" s="27"/>
      <c r="E10" s="27"/>
      <c r="F10" s="17"/>
      <c r="G10" s="17"/>
      <c r="H10" s="18"/>
      <c r="I10" s="19"/>
    </row>
    <row r="11" spans="1:9" x14ac:dyDescent="0.25">
      <c r="A11" s="8">
        <v>4</v>
      </c>
      <c r="B11" s="9">
        <v>46057</v>
      </c>
      <c r="C11" s="5"/>
      <c r="D11" s="5"/>
      <c r="E11" s="5"/>
      <c r="F11" s="16"/>
      <c r="G11" s="16"/>
      <c r="H11" s="10"/>
      <c r="I11" s="25"/>
    </row>
    <row r="12" spans="1:9" x14ac:dyDescent="0.25">
      <c r="A12" s="32">
        <v>5</v>
      </c>
      <c r="B12" s="9">
        <v>46058</v>
      </c>
      <c r="C12" s="27"/>
      <c r="D12" s="27"/>
      <c r="E12" s="27"/>
      <c r="F12" s="17"/>
      <c r="G12" s="17"/>
      <c r="H12" s="18"/>
      <c r="I12" s="19"/>
    </row>
    <row r="13" spans="1:9" x14ac:dyDescent="0.25">
      <c r="A13" s="20">
        <v>6</v>
      </c>
      <c r="B13" s="9">
        <v>46059</v>
      </c>
      <c r="C13" s="27"/>
      <c r="D13" s="27"/>
      <c r="E13" s="27"/>
      <c r="F13" s="21"/>
      <c r="G13" s="21"/>
      <c r="H13" s="26"/>
      <c r="I13" s="19"/>
    </row>
    <row r="14" spans="1:9" x14ac:dyDescent="0.25">
      <c r="A14" s="32">
        <v>7</v>
      </c>
      <c r="B14" s="9">
        <v>46060</v>
      </c>
      <c r="C14" s="27"/>
      <c r="D14" s="27"/>
      <c r="E14" s="27"/>
      <c r="F14" s="17"/>
      <c r="G14" s="17"/>
      <c r="H14" s="18"/>
      <c r="I14" s="19"/>
    </row>
    <row r="15" spans="1:9" x14ac:dyDescent="0.25">
      <c r="A15" s="32">
        <v>8</v>
      </c>
      <c r="B15" s="9">
        <v>46061</v>
      </c>
      <c r="C15" s="27"/>
      <c r="D15" s="27"/>
      <c r="E15" s="27"/>
      <c r="F15" s="17"/>
      <c r="G15" s="17"/>
      <c r="H15" s="18"/>
      <c r="I15" s="19"/>
    </row>
    <row r="16" spans="1:9" x14ac:dyDescent="0.25">
      <c r="A16" s="32">
        <v>9</v>
      </c>
      <c r="B16" s="9">
        <v>46062</v>
      </c>
      <c r="C16" s="27"/>
      <c r="D16" s="27"/>
      <c r="E16" s="27"/>
      <c r="F16" s="17"/>
      <c r="G16" s="17"/>
      <c r="H16" s="18"/>
      <c r="I16" s="19"/>
    </row>
    <row r="17" spans="1:9" x14ac:dyDescent="0.25">
      <c r="A17" s="32">
        <v>10</v>
      </c>
      <c r="B17" s="9">
        <v>46063</v>
      </c>
      <c r="C17" s="27"/>
      <c r="D17" s="27"/>
      <c r="E17" s="27"/>
      <c r="F17" s="17"/>
      <c r="G17" s="17"/>
      <c r="H17" s="18"/>
      <c r="I17" s="19"/>
    </row>
    <row r="18" spans="1:9" x14ac:dyDescent="0.25">
      <c r="A18" s="8">
        <v>11</v>
      </c>
      <c r="B18" s="9">
        <v>46064</v>
      </c>
      <c r="C18" s="5"/>
      <c r="D18" s="5"/>
      <c r="E18" s="5"/>
      <c r="F18" s="16"/>
      <c r="G18" s="16"/>
      <c r="H18" s="10"/>
      <c r="I18" s="25"/>
    </row>
    <row r="19" spans="1:9" x14ac:dyDescent="0.25">
      <c r="A19" s="32">
        <v>12</v>
      </c>
      <c r="B19" s="9">
        <v>46065</v>
      </c>
      <c r="C19" s="27"/>
      <c r="D19" s="27"/>
      <c r="E19" s="27"/>
      <c r="F19" s="17"/>
      <c r="G19" s="17"/>
      <c r="H19" s="18"/>
      <c r="I19" s="19"/>
    </row>
    <row r="20" spans="1:9" x14ac:dyDescent="0.25">
      <c r="A20" s="32">
        <v>13</v>
      </c>
      <c r="B20" s="9">
        <v>46066</v>
      </c>
      <c r="C20" s="27"/>
      <c r="D20" s="27"/>
      <c r="E20" s="27"/>
      <c r="F20" s="17"/>
      <c r="G20" s="17"/>
      <c r="H20" s="18"/>
      <c r="I20" s="19"/>
    </row>
    <row r="21" spans="1:9" x14ac:dyDescent="0.25">
      <c r="A21" s="32">
        <v>14</v>
      </c>
      <c r="B21" s="9">
        <v>46067</v>
      </c>
      <c r="C21" s="27"/>
      <c r="D21" s="27"/>
      <c r="E21" s="27"/>
      <c r="F21" s="17"/>
      <c r="G21" s="17"/>
      <c r="H21" s="18"/>
      <c r="I21" s="19"/>
    </row>
    <row r="22" spans="1:9" x14ac:dyDescent="0.25">
      <c r="A22" s="32">
        <v>15</v>
      </c>
      <c r="B22" s="9">
        <v>46068</v>
      </c>
      <c r="C22" s="27"/>
      <c r="D22" s="27"/>
      <c r="E22" s="27"/>
      <c r="F22" s="17"/>
      <c r="G22" s="17"/>
      <c r="H22" s="18"/>
      <c r="I22" s="19"/>
    </row>
    <row r="23" spans="1:9" x14ac:dyDescent="0.25">
      <c r="A23" s="32">
        <v>16</v>
      </c>
      <c r="B23" s="9">
        <v>46069</v>
      </c>
      <c r="C23" s="27"/>
      <c r="D23" s="27"/>
      <c r="E23" s="27"/>
      <c r="F23" s="17"/>
      <c r="G23" s="17"/>
      <c r="H23" s="18"/>
      <c r="I23" s="19"/>
    </row>
    <row r="24" spans="1:9" x14ac:dyDescent="0.25">
      <c r="A24" s="32">
        <v>17</v>
      </c>
      <c r="B24" s="9">
        <v>46070</v>
      </c>
      <c r="C24" s="27"/>
      <c r="D24" s="27"/>
      <c r="E24" s="27"/>
      <c r="F24" s="17"/>
      <c r="G24" s="17"/>
      <c r="H24" s="18"/>
      <c r="I24" s="19"/>
    </row>
    <row r="25" spans="1:9" x14ac:dyDescent="0.25">
      <c r="A25" s="8">
        <v>18</v>
      </c>
      <c r="B25" s="9">
        <v>46071</v>
      </c>
      <c r="C25" s="5"/>
      <c r="D25" s="5"/>
      <c r="E25" s="5"/>
      <c r="F25" s="16"/>
      <c r="G25" s="16"/>
      <c r="H25" s="10"/>
      <c r="I25" s="25"/>
    </row>
    <row r="26" spans="1:9" x14ac:dyDescent="0.25">
      <c r="A26" s="32">
        <v>19</v>
      </c>
      <c r="B26" s="9">
        <v>46072</v>
      </c>
      <c r="C26" s="27"/>
      <c r="D26" s="27"/>
      <c r="E26" s="27"/>
      <c r="F26" s="17"/>
      <c r="G26" s="17"/>
      <c r="H26" s="18"/>
      <c r="I26" s="19"/>
    </row>
    <row r="27" spans="1:9" x14ac:dyDescent="0.25">
      <c r="A27" s="32">
        <v>20</v>
      </c>
      <c r="B27" s="9">
        <v>46073</v>
      </c>
      <c r="C27" s="27"/>
      <c r="D27" s="27"/>
      <c r="E27" s="27"/>
      <c r="F27" s="17"/>
      <c r="G27" s="17"/>
      <c r="H27" s="18"/>
      <c r="I27" s="19"/>
    </row>
    <row r="28" spans="1:9" x14ac:dyDescent="0.25">
      <c r="A28" s="32">
        <v>21</v>
      </c>
      <c r="B28" s="9">
        <v>46074</v>
      </c>
      <c r="C28" s="27"/>
      <c r="D28" s="27"/>
      <c r="E28" s="27"/>
      <c r="F28" s="17"/>
      <c r="G28" s="17"/>
      <c r="H28" s="18"/>
      <c r="I28" s="19"/>
    </row>
    <row r="29" spans="1:9" x14ac:dyDescent="0.25">
      <c r="A29" s="32">
        <v>22</v>
      </c>
      <c r="B29" s="9">
        <v>46075</v>
      </c>
      <c r="C29" s="27"/>
      <c r="D29" s="27"/>
      <c r="E29" s="27"/>
      <c r="F29" s="17"/>
      <c r="G29" s="17"/>
      <c r="H29" s="18"/>
      <c r="I29" s="19"/>
    </row>
    <row r="30" spans="1:9" x14ac:dyDescent="0.25">
      <c r="A30" s="32">
        <v>23</v>
      </c>
      <c r="B30" s="9">
        <v>46076</v>
      </c>
      <c r="C30" s="27"/>
      <c r="D30" s="27"/>
      <c r="E30" s="27"/>
      <c r="F30" s="17"/>
      <c r="G30" s="17"/>
      <c r="I30" s="19"/>
    </row>
    <row r="31" spans="1:9" x14ac:dyDescent="0.25">
      <c r="A31" s="32">
        <v>24</v>
      </c>
      <c r="B31" s="9">
        <v>46077</v>
      </c>
      <c r="C31" s="27"/>
      <c r="D31" s="27"/>
      <c r="E31" s="27"/>
      <c r="F31" s="17"/>
      <c r="G31" s="17"/>
      <c r="H31" s="18"/>
      <c r="I31" s="19"/>
    </row>
    <row r="32" spans="1:9" x14ac:dyDescent="0.25">
      <c r="A32" s="8">
        <v>25</v>
      </c>
      <c r="B32" s="9">
        <v>46078</v>
      </c>
      <c r="C32" s="5"/>
      <c r="D32" s="5"/>
      <c r="E32" s="5"/>
      <c r="F32" s="16"/>
      <c r="G32" s="16"/>
      <c r="H32" s="10"/>
      <c r="I32" s="25"/>
    </row>
    <row r="33" spans="1:9" x14ac:dyDescent="0.25">
      <c r="A33" s="32">
        <v>26</v>
      </c>
      <c r="B33" s="9">
        <v>46079</v>
      </c>
      <c r="C33" s="27"/>
      <c r="D33" s="27"/>
      <c r="E33" s="27"/>
      <c r="F33" s="17"/>
      <c r="G33" s="17"/>
      <c r="H33" s="18"/>
      <c r="I33" s="19"/>
    </row>
    <row r="34" spans="1:9" x14ac:dyDescent="0.25">
      <c r="A34" s="32">
        <v>27</v>
      </c>
      <c r="B34" s="9">
        <v>46080</v>
      </c>
      <c r="C34" s="27"/>
      <c r="D34" s="27"/>
      <c r="E34" s="27"/>
      <c r="F34" s="17"/>
      <c r="G34" s="17"/>
      <c r="H34" s="18"/>
      <c r="I34" s="19"/>
    </row>
    <row r="35" spans="1:9" x14ac:dyDescent="0.25">
      <c r="A35" s="32">
        <v>28</v>
      </c>
      <c r="B35" s="9">
        <v>46081</v>
      </c>
      <c r="C35" s="27"/>
      <c r="D35" s="27"/>
      <c r="E35" s="27"/>
      <c r="F35" s="17"/>
      <c r="G35" s="17"/>
      <c r="H35" s="18"/>
      <c r="I35" s="19"/>
    </row>
    <row r="36" spans="1:9" x14ac:dyDescent="0.25">
      <c r="A36" s="42"/>
      <c r="B36" s="36"/>
      <c r="C36" s="27" t="s">
        <v>18</v>
      </c>
      <c r="D36" s="27"/>
      <c r="E36" s="5">
        <f>SUM(E8:E35)</f>
        <v>0</v>
      </c>
      <c r="F36" s="27"/>
      <c r="G36" s="27"/>
      <c r="H36" s="10">
        <f>SUM(H8:H35)</f>
        <v>0</v>
      </c>
      <c r="I36" s="19"/>
    </row>
    <row r="37" spans="1:9" x14ac:dyDescent="0.25">
      <c r="A37" s="37" t="s">
        <v>19</v>
      </c>
      <c r="B37" s="38"/>
      <c r="C37" s="38"/>
      <c r="D37" s="38"/>
      <c r="E37" s="38"/>
      <c r="F37" s="38"/>
      <c r="G37" s="38"/>
      <c r="H37" s="38"/>
      <c r="I37" s="39"/>
    </row>
    <row r="38" spans="1:9" x14ac:dyDescent="0.25">
      <c r="A38" s="40" t="s">
        <v>20</v>
      </c>
      <c r="B38" s="41"/>
      <c r="C38" s="41"/>
      <c r="D38" s="36"/>
      <c r="E38" s="27">
        <v>3000</v>
      </c>
      <c r="F38" s="27">
        <v>30</v>
      </c>
      <c r="G38" s="27">
        <v>55000</v>
      </c>
      <c r="I38" s="34"/>
    </row>
    <row r="39" spans="1:9" x14ac:dyDescent="0.25">
      <c r="A39" s="40" t="s">
        <v>21</v>
      </c>
      <c r="B39" s="41"/>
      <c r="C39" s="41"/>
      <c r="D39" s="36"/>
      <c r="E39" s="27">
        <v>0</v>
      </c>
      <c r="F39" s="27">
        <v>12</v>
      </c>
      <c r="G39" s="27">
        <f>E39*F39</f>
        <v>0</v>
      </c>
      <c r="I39" s="34"/>
    </row>
    <row r="40" spans="1:9" x14ac:dyDescent="0.25">
      <c r="A40" s="40" t="s">
        <v>22</v>
      </c>
      <c r="B40" s="41"/>
      <c r="C40" s="41"/>
      <c r="D40" s="36"/>
      <c r="E40" s="18">
        <f>H36</f>
        <v>0</v>
      </c>
      <c r="F40" s="27">
        <v>50</v>
      </c>
      <c r="G40" s="27">
        <f>E40*F40</f>
        <v>0</v>
      </c>
      <c r="I40" s="34"/>
    </row>
    <row r="41" spans="1:9" x14ac:dyDescent="0.25">
      <c r="A41" s="40" t="s">
        <v>23</v>
      </c>
      <c r="B41" s="41"/>
      <c r="C41" s="41"/>
      <c r="D41" s="36"/>
      <c r="E41" s="18">
        <v>0</v>
      </c>
      <c r="F41" s="27">
        <v>500</v>
      </c>
      <c r="G41" s="27">
        <f>E41*F41</f>
        <v>0</v>
      </c>
      <c r="I41" s="34"/>
    </row>
    <row r="42" spans="1:9" x14ac:dyDescent="0.25">
      <c r="A42" s="40" t="s">
        <v>24</v>
      </c>
      <c r="B42" s="41"/>
      <c r="C42" s="41"/>
      <c r="D42" s="36"/>
      <c r="E42" s="27">
        <v>0</v>
      </c>
      <c r="F42" s="27">
        <v>500</v>
      </c>
      <c r="G42" s="27">
        <f>E42*F42</f>
        <v>0</v>
      </c>
      <c r="I42" s="34"/>
    </row>
    <row r="43" spans="1:9" x14ac:dyDescent="0.25">
      <c r="A43" s="40" t="s">
        <v>25</v>
      </c>
      <c r="B43" s="41"/>
      <c r="C43" s="41"/>
      <c r="D43" s="36"/>
      <c r="E43" s="27">
        <v>0</v>
      </c>
      <c r="F43" s="27">
        <v>400</v>
      </c>
      <c r="G43" s="27">
        <f>E43*F43</f>
        <v>0</v>
      </c>
      <c r="I43" s="34"/>
    </row>
    <row r="44" spans="1:9" x14ac:dyDescent="0.25">
      <c r="A44" s="40" t="s">
        <v>26</v>
      </c>
      <c r="B44" s="41"/>
      <c r="C44" s="41"/>
      <c r="D44" s="36"/>
      <c r="E44" s="27"/>
      <c r="F44" s="27"/>
      <c r="G44" s="27"/>
      <c r="I44" s="34"/>
    </row>
    <row r="45" spans="1:9" ht="15.75" customHeight="1" thickBot="1" x14ac:dyDescent="0.3">
      <c r="A45" s="53" t="s">
        <v>27</v>
      </c>
      <c r="B45" s="54"/>
      <c r="C45" s="54"/>
      <c r="D45" s="55"/>
      <c r="E45" s="14"/>
      <c r="F45" s="14"/>
      <c r="G45" s="15">
        <f>SUM(G38:G44)</f>
        <v>55000</v>
      </c>
      <c r="H45" s="11"/>
      <c r="I45" s="12"/>
    </row>
  </sheetData>
  <mergeCells count="21">
    <mergeCell ref="A45:D45"/>
    <mergeCell ref="A41:D41"/>
    <mergeCell ref="F5:I5"/>
    <mergeCell ref="I6:I7"/>
    <mergeCell ref="A1:I1"/>
    <mergeCell ref="A42:D42"/>
    <mergeCell ref="A2:I2"/>
    <mergeCell ref="E4:I4"/>
    <mergeCell ref="A5:C5"/>
    <mergeCell ref="A39:D39"/>
    <mergeCell ref="B6:B7"/>
    <mergeCell ref="A43:D43"/>
    <mergeCell ref="A3:I3"/>
    <mergeCell ref="A6:A7"/>
    <mergeCell ref="A44:D44"/>
    <mergeCell ref="A40:D40"/>
    <mergeCell ref="C6:D6"/>
    <mergeCell ref="A37:I37"/>
    <mergeCell ref="A38:D38"/>
    <mergeCell ref="A36:B36"/>
    <mergeCell ref="F6:G6"/>
  </mergeCells>
  <pageMargins left="0.7" right="0.7" top="0.75" bottom="0.75" header="0.3" footer="0.3"/>
  <pageSetup paperSize="9" scale="9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5"/>
  <sheetViews>
    <sheetView workbookViewId="0">
      <selection activeCell="C13" sqref="C13:H13"/>
    </sheetView>
  </sheetViews>
  <sheetFormatPr defaultRowHeight="15" x14ac:dyDescent="0.25"/>
  <cols>
    <col min="2" max="2" width="10.140625" style="33" bestFit="1" customWidth="1"/>
    <col min="3" max="3" width="10.28515625" style="33" bestFit="1" customWidth="1"/>
    <col min="4" max="4" width="9.85546875" style="33" bestFit="1" customWidth="1"/>
    <col min="5" max="5" width="8.140625" style="33" bestFit="1" customWidth="1"/>
    <col min="6" max="6" width="12.7109375" style="33" bestFit="1" customWidth="1"/>
    <col min="7" max="7" width="10.42578125" style="33" bestFit="1" customWidth="1"/>
    <col min="8" max="8" width="12.7109375" style="33" bestFit="1" customWidth="1"/>
    <col min="9" max="9" width="14.28515625" style="33" bestFit="1" customWidth="1"/>
  </cols>
  <sheetData>
    <row r="1" spans="1:13" ht="21.75" customHeight="1" x14ac:dyDescent="0.35">
      <c r="A1" s="60" t="s">
        <v>0</v>
      </c>
      <c r="B1" s="61"/>
      <c r="C1" s="61"/>
      <c r="D1" s="61"/>
      <c r="E1" s="61"/>
      <c r="F1" s="61"/>
      <c r="G1" s="61"/>
      <c r="H1" s="61"/>
      <c r="I1" s="62"/>
    </row>
    <row r="2" spans="1:13" ht="15.75" customHeight="1" x14ac:dyDescent="0.25">
      <c r="A2" s="48" t="s">
        <v>1</v>
      </c>
      <c r="B2" s="44"/>
      <c r="C2" s="44"/>
      <c r="D2" s="44"/>
      <c r="E2" s="44"/>
      <c r="F2" s="44"/>
      <c r="G2" s="44"/>
      <c r="H2" s="44"/>
      <c r="I2" s="45"/>
    </row>
    <row r="3" spans="1:13" x14ac:dyDescent="0.25">
      <c r="A3" s="43" t="s">
        <v>2</v>
      </c>
      <c r="B3" s="44"/>
      <c r="C3" s="44"/>
      <c r="D3" s="44"/>
      <c r="E3" s="44"/>
      <c r="F3" s="44"/>
      <c r="G3" s="44"/>
      <c r="H3" s="44"/>
      <c r="I3" s="45"/>
    </row>
    <row r="4" spans="1:13" x14ac:dyDescent="0.25">
      <c r="A4" s="13" t="s">
        <v>28</v>
      </c>
      <c r="B4" s="30"/>
      <c r="C4" s="30"/>
      <c r="D4" s="30"/>
      <c r="E4" s="49" t="s">
        <v>29</v>
      </c>
      <c r="F4" s="44"/>
      <c r="G4" s="44"/>
      <c r="H4" s="44"/>
      <c r="I4" s="45"/>
    </row>
    <row r="5" spans="1:13" x14ac:dyDescent="0.25">
      <c r="A5" s="50" t="s">
        <v>5</v>
      </c>
      <c r="B5" s="51"/>
      <c r="C5" s="51"/>
      <c r="D5" s="1"/>
      <c r="E5" s="2"/>
      <c r="F5" s="56" t="s">
        <v>30</v>
      </c>
      <c r="G5" s="51"/>
      <c r="H5" s="51"/>
      <c r="I5" s="57"/>
    </row>
    <row r="6" spans="1:13" ht="28.5" customHeight="1" x14ac:dyDescent="0.25">
      <c r="A6" s="46" t="s">
        <v>7</v>
      </c>
      <c r="B6" s="35" t="s">
        <v>8</v>
      </c>
      <c r="C6" s="35" t="s">
        <v>9</v>
      </c>
      <c r="D6" s="36"/>
      <c r="E6" s="4" t="s">
        <v>10</v>
      </c>
      <c r="F6" s="35" t="s">
        <v>11</v>
      </c>
      <c r="G6" s="36"/>
      <c r="H6" s="3" t="s">
        <v>12</v>
      </c>
      <c r="I6" s="58" t="s">
        <v>13</v>
      </c>
      <c r="L6" s="22"/>
    </row>
    <row r="7" spans="1:13" x14ac:dyDescent="0.25">
      <c r="A7" s="47"/>
      <c r="B7" s="52"/>
      <c r="C7" s="31" t="s">
        <v>14</v>
      </c>
      <c r="D7" s="31" t="s">
        <v>15</v>
      </c>
      <c r="E7" s="28" t="s">
        <v>16</v>
      </c>
      <c r="F7" s="6" t="s">
        <v>14</v>
      </c>
      <c r="G7" s="6" t="s">
        <v>15</v>
      </c>
      <c r="H7" s="7" t="s">
        <v>17</v>
      </c>
      <c r="I7" s="59"/>
    </row>
    <row r="8" spans="1:13" x14ac:dyDescent="0.25">
      <c r="A8" s="32">
        <v>1</v>
      </c>
      <c r="B8" s="9">
        <v>46054</v>
      </c>
      <c r="C8" s="27"/>
      <c r="D8" s="27"/>
      <c r="E8" s="27"/>
      <c r="F8" s="17"/>
      <c r="G8" s="17"/>
      <c r="H8" s="18"/>
      <c r="I8" s="19"/>
      <c r="L8" s="22"/>
    </row>
    <row r="9" spans="1:13" x14ac:dyDescent="0.25">
      <c r="A9" s="32">
        <v>2</v>
      </c>
      <c r="B9" s="9">
        <v>46055</v>
      </c>
      <c r="C9" s="27"/>
      <c r="D9" s="27"/>
      <c r="E9" s="27"/>
      <c r="F9" s="17"/>
      <c r="G9" s="17"/>
      <c r="H9" s="18"/>
      <c r="I9" s="19"/>
      <c r="L9" s="22"/>
    </row>
    <row r="10" spans="1:13" x14ac:dyDescent="0.25">
      <c r="A10" s="32">
        <v>3</v>
      </c>
      <c r="B10" s="9">
        <v>46056</v>
      </c>
      <c r="C10" s="27"/>
      <c r="D10" s="27"/>
      <c r="E10" s="27"/>
      <c r="F10" s="17"/>
      <c r="G10" s="17"/>
      <c r="H10" s="18"/>
      <c r="I10" s="19"/>
    </row>
    <row r="11" spans="1:13" x14ac:dyDescent="0.25">
      <c r="A11" s="8">
        <v>4</v>
      </c>
      <c r="B11" s="9">
        <v>46057</v>
      </c>
      <c r="C11" s="5"/>
      <c r="D11" s="5"/>
      <c r="E11" s="5"/>
      <c r="F11" s="16"/>
      <c r="G11" s="16"/>
      <c r="H11" s="10"/>
      <c r="I11" s="25"/>
    </row>
    <row r="12" spans="1:13" x14ac:dyDescent="0.25">
      <c r="A12" s="32">
        <v>5</v>
      </c>
      <c r="B12" s="9">
        <v>46058</v>
      </c>
      <c r="C12" s="27"/>
      <c r="D12" s="27"/>
      <c r="E12" s="27"/>
      <c r="F12" s="17"/>
      <c r="G12" s="17"/>
      <c r="H12" s="18"/>
      <c r="I12" s="19"/>
      <c r="J12" s="29"/>
      <c r="K12" s="29"/>
      <c r="L12" s="29"/>
      <c r="M12" s="29"/>
    </row>
    <row r="13" spans="1:13" x14ac:dyDescent="0.25">
      <c r="A13" s="20">
        <v>6</v>
      </c>
      <c r="B13" s="9">
        <v>46059</v>
      </c>
      <c r="C13" s="27"/>
      <c r="D13" s="27"/>
      <c r="E13" s="27"/>
      <c r="F13" s="21"/>
      <c r="G13" s="21"/>
      <c r="H13" s="26"/>
      <c r="I13" s="19"/>
    </row>
    <row r="14" spans="1:13" x14ac:dyDescent="0.25">
      <c r="A14" s="32">
        <v>7</v>
      </c>
      <c r="B14" s="9">
        <v>46060</v>
      </c>
      <c r="C14" s="27"/>
      <c r="D14" s="27"/>
      <c r="E14" s="27"/>
      <c r="F14" s="17"/>
      <c r="G14" s="17"/>
      <c r="H14" s="18"/>
      <c r="I14" s="19"/>
    </row>
    <row r="15" spans="1:13" x14ac:dyDescent="0.25">
      <c r="A15" s="32">
        <v>8</v>
      </c>
      <c r="B15" s="9">
        <v>46061</v>
      </c>
      <c r="C15" s="27"/>
      <c r="D15" s="27"/>
      <c r="E15" s="27"/>
      <c r="F15" s="17"/>
      <c r="G15" s="17"/>
      <c r="H15" s="18"/>
      <c r="I15" s="19"/>
    </row>
    <row r="16" spans="1:13" x14ac:dyDescent="0.25">
      <c r="A16" s="32">
        <v>9</v>
      </c>
      <c r="B16" s="9">
        <v>46062</v>
      </c>
      <c r="C16" s="27"/>
      <c r="D16" s="27"/>
      <c r="E16" s="27"/>
      <c r="F16" s="17"/>
      <c r="G16" s="17"/>
      <c r="H16" s="18"/>
      <c r="I16" s="19"/>
      <c r="J16" s="29"/>
      <c r="K16" s="29"/>
      <c r="L16" s="29"/>
      <c r="M16" s="29"/>
    </row>
    <row r="17" spans="1:13" x14ac:dyDescent="0.25">
      <c r="A17" s="32">
        <v>10</v>
      </c>
      <c r="B17" s="9">
        <v>46063</v>
      </c>
      <c r="C17" s="27"/>
      <c r="D17" s="27"/>
      <c r="E17" s="27"/>
      <c r="F17" s="17"/>
      <c r="G17" s="17"/>
      <c r="H17" s="18"/>
      <c r="I17" s="19"/>
    </row>
    <row r="18" spans="1:13" x14ac:dyDescent="0.25">
      <c r="A18" s="8">
        <v>11</v>
      </c>
      <c r="B18" s="9">
        <v>46064</v>
      </c>
      <c r="C18" s="5"/>
      <c r="D18" s="5"/>
      <c r="E18" s="5"/>
      <c r="F18" s="16"/>
      <c r="G18" s="16"/>
      <c r="H18" s="10"/>
      <c r="I18" s="25"/>
      <c r="M18" s="22"/>
    </row>
    <row r="19" spans="1:13" x14ac:dyDescent="0.25">
      <c r="A19" s="32">
        <v>12</v>
      </c>
      <c r="B19" s="9">
        <v>46065</v>
      </c>
      <c r="C19" s="27"/>
      <c r="D19" s="27"/>
      <c r="E19" s="27"/>
      <c r="F19" s="17"/>
      <c r="G19" s="17"/>
      <c r="H19" s="18"/>
      <c r="I19" s="19"/>
      <c r="M19" s="22"/>
    </row>
    <row r="20" spans="1:13" x14ac:dyDescent="0.25">
      <c r="A20" s="32">
        <v>13</v>
      </c>
      <c r="B20" s="9">
        <v>46066</v>
      </c>
      <c r="C20" s="27"/>
      <c r="D20" s="27"/>
      <c r="E20" s="27"/>
      <c r="F20" s="17"/>
      <c r="G20" s="17"/>
      <c r="H20" s="18"/>
      <c r="I20" s="19"/>
      <c r="M20" s="22"/>
    </row>
    <row r="21" spans="1:13" x14ac:dyDescent="0.25">
      <c r="A21" s="32">
        <v>14</v>
      </c>
      <c r="B21" s="9">
        <v>46067</v>
      </c>
      <c r="C21" s="27"/>
      <c r="D21" s="27"/>
      <c r="E21" s="27"/>
      <c r="F21" s="17"/>
      <c r="G21" s="17"/>
      <c r="H21" s="18"/>
      <c r="I21" s="19"/>
      <c r="K21" s="22"/>
    </row>
    <row r="22" spans="1:13" x14ac:dyDescent="0.25">
      <c r="A22" s="32">
        <v>15</v>
      </c>
      <c r="B22" s="9">
        <v>46068</v>
      </c>
      <c r="C22" s="27"/>
      <c r="D22" s="27"/>
      <c r="E22" s="27"/>
      <c r="F22" s="17"/>
      <c r="G22" s="17"/>
      <c r="H22" s="18"/>
      <c r="I22" s="19"/>
      <c r="K22" s="22"/>
    </row>
    <row r="23" spans="1:13" x14ac:dyDescent="0.25">
      <c r="A23" s="32">
        <v>16</v>
      </c>
      <c r="B23" s="9">
        <v>46069</v>
      </c>
      <c r="C23" s="27"/>
      <c r="D23" s="27"/>
      <c r="E23" s="27"/>
      <c r="F23" s="17"/>
      <c r="G23" s="17"/>
      <c r="H23" s="18"/>
      <c r="I23" s="19"/>
      <c r="K23" s="22"/>
      <c r="M23" s="23"/>
    </row>
    <row r="24" spans="1:13" x14ac:dyDescent="0.25">
      <c r="A24" s="32">
        <v>17</v>
      </c>
      <c r="B24" s="9">
        <v>46070</v>
      </c>
      <c r="C24" s="27"/>
      <c r="D24" s="27"/>
      <c r="E24" s="27"/>
      <c r="F24" s="17"/>
      <c r="G24" s="17"/>
      <c r="H24" s="18"/>
      <c r="I24" s="19"/>
    </row>
    <row r="25" spans="1:13" x14ac:dyDescent="0.25">
      <c r="A25" s="8">
        <v>18</v>
      </c>
      <c r="B25" s="9">
        <v>46071</v>
      </c>
      <c r="C25" s="5"/>
      <c r="D25" s="5"/>
      <c r="E25" s="5"/>
      <c r="F25" s="16"/>
      <c r="G25" s="16"/>
      <c r="H25" s="10"/>
      <c r="I25" s="25"/>
      <c r="K25" s="22"/>
    </row>
    <row r="26" spans="1:13" x14ac:dyDescent="0.25">
      <c r="A26" s="32">
        <v>19</v>
      </c>
      <c r="B26" s="9">
        <v>46072</v>
      </c>
      <c r="C26" s="27"/>
      <c r="D26" s="27"/>
      <c r="E26" s="27"/>
      <c r="F26" s="17"/>
      <c r="G26" s="17"/>
      <c r="H26" s="18"/>
      <c r="I26" s="19"/>
    </row>
    <row r="27" spans="1:13" x14ac:dyDescent="0.25">
      <c r="A27" s="32">
        <v>20</v>
      </c>
      <c r="B27" s="9">
        <v>46073</v>
      </c>
      <c r="C27" s="27"/>
      <c r="D27" s="27"/>
      <c r="E27" s="27"/>
      <c r="F27" s="17"/>
      <c r="G27" s="17"/>
      <c r="H27" s="18"/>
      <c r="I27" s="19"/>
      <c r="K27" s="24"/>
      <c r="M27" s="23"/>
    </row>
    <row r="28" spans="1:13" x14ac:dyDescent="0.25">
      <c r="A28" s="32">
        <v>21</v>
      </c>
      <c r="B28" s="9">
        <v>46074</v>
      </c>
      <c r="C28" s="27"/>
      <c r="D28" s="27"/>
      <c r="E28" s="27"/>
      <c r="F28" s="17"/>
      <c r="G28" s="17"/>
      <c r="H28" s="18"/>
      <c r="I28" s="19"/>
      <c r="M28" s="23"/>
    </row>
    <row r="29" spans="1:13" x14ac:dyDescent="0.25">
      <c r="A29" s="32">
        <v>22</v>
      </c>
      <c r="B29" s="9">
        <v>46075</v>
      </c>
      <c r="C29" s="27"/>
      <c r="D29" s="27"/>
      <c r="E29" s="27"/>
      <c r="F29" s="17"/>
      <c r="G29" s="17"/>
      <c r="H29" s="18"/>
      <c r="I29" s="19"/>
      <c r="M29" s="23"/>
    </row>
    <row r="30" spans="1:13" x14ac:dyDescent="0.25">
      <c r="A30" s="32">
        <v>23</v>
      </c>
      <c r="B30" s="9">
        <v>46076</v>
      </c>
      <c r="C30" s="27"/>
      <c r="D30" s="27"/>
      <c r="E30" s="27"/>
      <c r="F30" s="17"/>
      <c r="G30" s="17"/>
      <c r="I30" s="19"/>
    </row>
    <row r="31" spans="1:13" x14ac:dyDescent="0.25">
      <c r="A31" s="32">
        <v>24</v>
      </c>
      <c r="B31" s="9">
        <v>46077</v>
      </c>
      <c r="C31" s="27"/>
      <c r="D31" s="27"/>
      <c r="E31" s="27"/>
      <c r="F31" s="17"/>
      <c r="G31" s="17"/>
      <c r="H31" s="18"/>
      <c r="I31" s="19"/>
    </row>
    <row r="32" spans="1:13" x14ac:dyDescent="0.25">
      <c r="A32" s="8">
        <v>25</v>
      </c>
      <c r="B32" s="9">
        <v>46078</v>
      </c>
      <c r="C32" s="5"/>
      <c r="D32" s="5"/>
      <c r="E32" s="5"/>
      <c r="F32" s="16"/>
      <c r="G32" s="16"/>
      <c r="H32" s="10"/>
      <c r="I32" s="25"/>
    </row>
    <row r="33" spans="1:9" x14ac:dyDescent="0.25">
      <c r="A33" s="32">
        <v>26</v>
      </c>
      <c r="B33" s="9">
        <v>46079</v>
      </c>
      <c r="C33" s="27"/>
      <c r="D33" s="27"/>
      <c r="E33" s="27"/>
      <c r="F33" s="17"/>
      <c r="G33" s="17"/>
      <c r="H33" s="18"/>
      <c r="I33" s="19"/>
    </row>
    <row r="34" spans="1:9" x14ac:dyDescent="0.25">
      <c r="A34" s="32">
        <v>27</v>
      </c>
      <c r="B34" s="9">
        <v>46080</v>
      </c>
      <c r="C34" s="27"/>
      <c r="D34" s="27"/>
      <c r="E34" s="27"/>
      <c r="F34" s="17"/>
      <c r="G34" s="17"/>
      <c r="H34" s="18"/>
      <c r="I34" s="19"/>
    </row>
    <row r="35" spans="1:9" x14ac:dyDescent="0.25">
      <c r="A35" s="32">
        <v>28</v>
      </c>
      <c r="B35" s="9">
        <v>46081</v>
      </c>
      <c r="C35" s="27"/>
      <c r="D35" s="27"/>
      <c r="E35" s="27"/>
      <c r="F35" s="17"/>
      <c r="G35" s="17"/>
      <c r="H35" s="18"/>
      <c r="I35" s="19"/>
    </row>
    <row r="36" spans="1:9" x14ac:dyDescent="0.25">
      <c r="A36" s="42"/>
      <c r="B36" s="36"/>
      <c r="C36" s="27" t="s">
        <v>18</v>
      </c>
      <c r="D36" s="27"/>
      <c r="E36" s="5">
        <f>SUM(E8:E35)</f>
        <v>0</v>
      </c>
      <c r="F36" s="27"/>
      <c r="G36" s="27"/>
      <c r="H36" s="10">
        <f>SUM(H8:H35)</f>
        <v>0</v>
      </c>
      <c r="I36" s="19"/>
    </row>
    <row r="37" spans="1:9" x14ac:dyDescent="0.25">
      <c r="A37" s="37" t="s">
        <v>19</v>
      </c>
      <c r="B37" s="38"/>
      <c r="C37" s="38"/>
      <c r="D37" s="38"/>
      <c r="E37" s="38"/>
      <c r="F37" s="38"/>
      <c r="G37" s="38"/>
      <c r="H37" s="38"/>
      <c r="I37" s="39"/>
    </row>
    <row r="38" spans="1:9" x14ac:dyDescent="0.25">
      <c r="A38" s="40" t="s">
        <v>20</v>
      </c>
      <c r="B38" s="41"/>
      <c r="C38" s="41"/>
      <c r="D38" s="36"/>
      <c r="E38" s="27">
        <v>3000</v>
      </c>
      <c r="F38" s="27">
        <v>30</v>
      </c>
      <c r="G38" s="27">
        <v>55000</v>
      </c>
      <c r="I38" s="34"/>
    </row>
    <row r="39" spans="1:9" x14ac:dyDescent="0.25">
      <c r="A39" s="40" t="s">
        <v>21</v>
      </c>
      <c r="B39" s="41"/>
      <c r="C39" s="41"/>
      <c r="D39" s="36"/>
      <c r="E39" s="27">
        <v>0</v>
      </c>
      <c r="F39" s="27">
        <v>12</v>
      </c>
      <c r="G39" s="27">
        <f>E39*F39</f>
        <v>0</v>
      </c>
      <c r="I39" s="34"/>
    </row>
    <row r="40" spans="1:9" x14ac:dyDescent="0.25">
      <c r="A40" s="40" t="s">
        <v>22</v>
      </c>
      <c r="B40" s="41"/>
      <c r="C40" s="41"/>
      <c r="D40" s="36"/>
      <c r="E40" s="18">
        <f>H36</f>
        <v>0</v>
      </c>
      <c r="F40" s="27">
        <v>50</v>
      </c>
      <c r="G40" s="27">
        <f>E40*F40</f>
        <v>0</v>
      </c>
      <c r="I40" s="34"/>
    </row>
    <row r="41" spans="1:9" x14ac:dyDescent="0.25">
      <c r="A41" s="40" t="s">
        <v>23</v>
      </c>
      <c r="B41" s="41"/>
      <c r="C41" s="41"/>
      <c r="D41" s="36"/>
      <c r="E41" s="18">
        <v>0</v>
      </c>
      <c r="F41" s="27">
        <v>500</v>
      </c>
      <c r="G41" s="27">
        <f>E41*F41</f>
        <v>0</v>
      </c>
      <c r="I41" s="34"/>
    </row>
    <row r="42" spans="1:9" x14ac:dyDescent="0.25">
      <c r="A42" s="40" t="s">
        <v>24</v>
      </c>
      <c r="B42" s="41"/>
      <c r="C42" s="41"/>
      <c r="D42" s="36"/>
      <c r="E42" s="27">
        <v>0</v>
      </c>
      <c r="F42" s="27">
        <v>500</v>
      </c>
      <c r="G42" s="27">
        <f>E42*F42</f>
        <v>0</v>
      </c>
      <c r="I42" s="34"/>
    </row>
    <row r="43" spans="1:9" x14ac:dyDescent="0.25">
      <c r="A43" s="40" t="s">
        <v>25</v>
      </c>
      <c r="B43" s="41"/>
      <c r="C43" s="41"/>
      <c r="D43" s="36"/>
      <c r="E43" s="27">
        <v>0</v>
      </c>
      <c r="F43" s="27">
        <v>400</v>
      </c>
      <c r="G43" s="27">
        <f>E43*F43</f>
        <v>0</v>
      </c>
      <c r="I43" s="34"/>
    </row>
    <row r="44" spans="1:9" x14ac:dyDescent="0.25">
      <c r="A44" s="40" t="s">
        <v>26</v>
      </c>
      <c r="B44" s="41"/>
      <c r="C44" s="41"/>
      <c r="D44" s="36"/>
      <c r="E44" s="27"/>
      <c r="F44" s="27"/>
      <c r="G44" s="27"/>
      <c r="I44" s="34"/>
    </row>
    <row r="45" spans="1:9" ht="15.75" customHeight="1" thickBot="1" x14ac:dyDescent="0.3">
      <c r="A45" s="53" t="s">
        <v>27</v>
      </c>
      <c r="B45" s="54"/>
      <c r="C45" s="54"/>
      <c r="D45" s="55"/>
      <c r="E45" s="14"/>
      <c r="F45" s="14"/>
      <c r="G45" s="15">
        <f>SUM(G38:G44)</f>
        <v>55000</v>
      </c>
      <c r="H45" s="11"/>
      <c r="I45" s="12"/>
    </row>
  </sheetData>
  <mergeCells count="21">
    <mergeCell ref="A45:D45"/>
    <mergeCell ref="A41:D41"/>
    <mergeCell ref="F5:I5"/>
    <mergeCell ref="I6:I7"/>
    <mergeCell ref="A1:I1"/>
    <mergeCell ref="A42:D42"/>
    <mergeCell ref="A2:I2"/>
    <mergeCell ref="E4:I4"/>
    <mergeCell ref="A5:C5"/>
    <mergeCell ref="A39:D39"/>
    <mergeCell ref="B6:B7"/>
    <mergeCell ref="A43:D43"/>
    <mergeCell ref="A3:I3"/>
    <mergeCell ref="A6:A7"/>
    <mergeCell ref="A44:D44"/>
    <mergeCell ref="A40:D40"/>
    <mergeCell ref="C6:D6"/>
    <mergeCell ref="A37:I37"/>
    <mergeCell ref="A38:D38"/>
    <mergeCell ref="A36:B36"/>
    <mergeCell ref="F6:G6"/>
  </mergeCells>
  <pageMargins left="0.7" right="0.7" top="0.75" bottom="0.75" header="0.3" footer="0.3"/>
  <pageSetup paperSize="9" scale="8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tabSelected="1" workbookViewId="0">
      <selection sqref="A1:I1"/>
    </sheetView>
  </sheetViews>
  <sheetFormatPr defaultRowHeight="15" x14ac:dyDescent="0.25"/>
  <cols>
    <col min="1" max="1" width="8.85546875" style="33" customWidth="1"/>
    <col min="2" max="2" width="10.140625" style="33" bestFit="1" customWidth="1"/>
    <col min="3" max="3" width="10.28515625" style="33" bestFit="1" customWidth="1"/>
    <col min="4" max="4" width="9.85546875" style="33" bestFit="1" customWidth="1"/>
    <col min="5" max="5" width="8.140625" style="33" bestFit="1" customWidth="1"/>
    <col min="6" max="7" width="9" style="33" bestFit="1" customWidth="1"/>
    <col min="8" max="8" width="12.7109375" style="33" bestFit="1" customWidth="1"/>
    <col min="9" max="9" width="15.5703125" style="33" customWidth="1"/>
  </cols>
  <sheetData>
    <row r="1" spans="1:9" ht="21.75" customHeight="1" x14ac:dyDescent="0.35">
      <c r="A1" s="60" t="s">
        <v>0</v>
      </c>
      <c r="B1" s="61"/>
      <c r="C1" s="61"/>
      <c r="D1" s="61"/>
      <c r="E1" s="61"/>
      <c r="F1" s="61"/>
      <c r="G1" s="61"/>
      <c r="H1" s="61"/>
      <c r="I1" s="62"/>
    </row>
    <row r="2" spans="1:9" ht="15.75" customHeight="1" x14ac:dyDescent="0.25">
      <c r="A2" s="48" t="s">
        <v>1</v>
      </c>
      <c r="B2" s="44"/>
      <c r="C2" s="44"/>
      <c r="D2" s="44"/>
      <c r="E2" s="44"/>
      <c r="F2" s="44"/>
      <c r="G2" s="44"/>
      <c r="H2" s="44"/>
      <c r="I2" s="45"/>
    </row>
    <row r="3" spans="1:9" x14ac:dyDescent="0.25">
      <c r="A3" s="43" t="s">
        <v>2</v>
      </c>
      <c r="B3" s="44"/>
      <c r="C3" s="44"/>
      <c r="D3" s="44"/>
      <c r="E3" s="44"/>
      <c r="F3" s="44"/>
      <c r="G3" s="44"/>
      <c r="H3" s="44"/>
      <c r="I3" s="45"/>
    </row>
    <row r="4" spans="1:9" x14ac:dyDescent="0.25">
      <c r="A4" s="13" t="s">
        <v>31</v>
      </c>
      <c r="B4" s="30"/>
      <c r="C4" s="30"/>
      <c r="D4" s="30"/>
      <c r="E4" s="49" t="s">
        <v>32</v>
      </c>
      <c r="F4" s="44"/>
      <c r="G4" s="44"/>
      <c r="H4" s="44"/>
      <c r="I4" s="45"/>
    </row>
    <row r="5" spans="1:9" x14ac:dyDescent="0.25">
      <c r="A5" s="50" t="s">
        <v>5</v>
      </c>
      <c r="B5" s="51"/>
      <c r="C5" s="51"/>
      <c r="D5" s="1"/>
      <c r="E5" s="2"/>
      <c r="F5" s="56" t="s">
        <v>33</v>
      </c>
      <c r="G5" s="51"/>
      <c r="H5" s="51"/>
      <c r="I5" s="57"/>
    </row>
    <row r="6" spans="1:9" ht="28.5" customHeight="1" x14ac:dyDescent="0.25">
      <c r="A6" s="46" t="s">
        <v>7</v>
      </c>
      <c r="B6" s="35" t="s">
        <v>8</v>
      </c>
      <c r="C6" s="35" t="s">
        <v>9</v>
      </c>
      <c r="D6" s="36"/>
      <c r="E6" s="4" t="s">
        <v>10</v>
      </c>
      <c r="F6" s="35" t="s">
        <v>11</v>
      </c>
      <c r="G6" s="36"/>
      <c r="H6" s="3" t="s">
        <v>12</v>
      </c>
      <c r="I6" s="58" t="s">
        <v>13</v>
      </c>
    </row>
    <row r="7" spans="1:9" x14ac:dyDescent="0.25">
      <c r="A7" s="47"/>
      <c r="B7" s="52"/>
      <c r="C7" s="31" t="s">
        <v>14</v>
      </c>
      <c r="D7" s="31" t="s">
        <v>15</v>
      </c>
      <c r="E7" s="28" t="s">
        <v>16</v>
      </c>
      <c r="F7" s="6" t="s">
        <v>14</v>
      </c>
      <c r="G7" s="6" t="s">
        <v>15</v>
      </c>
      <c r="H7" s="7" t="s">
        <v>17</v>
      </c>
      <c r="I7" s="59"/>
    </row>
    <row r="8" spans="1:9" x14ac:dyDescent="0.25">
      <c r="A8" s="32">
        <v>1</v>
      </c>
      <c r="B8" s="9">
        <v>46054</v>
      </c>
      <c r="C8" s="27"/>
      <c r="D8" s="27"/>
      <c r="E8" s="27"/>
      <c r="F8" s="17"/>
      <c r="G8" s="17"/>
      <c r="H8" s="18"/>
      <c r="I8" s="19"/>
    </row>
    <row r="9" spans="1:9" x14ac:dyDescent="0.25">
      <c r="A9" s="32">
        <v>2</v>
      </c>
      <c r="B9" s="9">
        <v>46055</v>
      </c>
      <c r="C9" s="27"/>
      <c r="D9" s="27"/>
      <c r="E9" s="27"/>
      <c r="F9" s="17"/>
      <c r="G9" s="17"/>
      <c r="H9" s="18"/>
      <c r="I9" s="19"/>
    </row>
    <row r="10" spans="1:9" x14ac:dyDescent="0.25">
      <c r="A10" s="32">
        <v>3</v>
      </c>
      <c r="B10" s="9">
        <v>46056</v>
      </c>
      <c r="C10" s="27"/>
      <c r="D10" s="27"/>
      <c r="E10" s="27"/>
      <c r="F10" s="17"/>
      <c r="G10" s="17"/>
      <c r="H10" s="18"/>
      <c r="I10" s="19"/>
    </row>
    <row r="11" spans="1:9" x14ac:dyDescent="0.25">
      <c r="A11" s="8">
        <v>4</v>
      </c>
      <c r="B11" s="9">
        <v>46057</v>
      </c>
      <c r="C11" s="5"/>
      <c r="D11" s="5"/>
      <c r="E11" s="5"/>
      <c r="F11" s="16"/>
      <c r="G11" s="16"/>
      <c r="H11" s="10"/>
      <c r="I11" s="25"/>
    </row>
    <row r="12" spans="1:9" x14ac:dyDescent="0.25">
      <c r="A12" s="32">
        <v>5</v>
      </c>
      <c r="B12" s="9">
        <v>46058</v>
      </c>
      <c r="C12" s="27"/>
      <c r="D12" s="27"/>
      <c r="E12" s="27"/>
      <c r="F12" s="17"/>
      <c r="G12" s="17"/>
      <c r="H12" s="18"/>
      <c r="I12" s="19"/>
    </row>
    <row r="13" spans="1:9" x14ac:dyDescent="0.25">
      <c r="A13" s="20">
        <v>6</v>
      </c>
      <c r="B13" s="9">
        <v>46059</v>
      </c>
      <c r="C13" s="27"/>
      <c r="D13" s="27"/>
      <c r="E13" s="27"/>
      <c r="F13" s="21"/>
      <c r="G13" s="21"/>
      <c r="H13" s="26"/>
      <c r="I13" s="19"/>
    </row>
    <row r="14" spans="1:9" x14ac:dyDescent="0.25">
      <c r="A14" s="32">
        <v>7</v>
      </c>
      <c r="B14" s="9">
        <v>46060</v>
      </c>
      <c r="C14" s="27"/>
      <c r="D14" s="27"/>
      <c r="E14" s="27"/>
      <c r="F14" s="17"/>
      <c r="G14" s="17"/>
      <c r="H14" s="18"/>
      <c r="I14" s="19"/>
    </row>
    <row r="15" spans="1:9" x14ac:dyDescent="0.25">
      <c r="A15" s="32">
        <v>8</v>
      </c>
      <c r="B15" s="9">
        <v>46061</v>
      </c>
      <c r="C15" s="27"/>
      <c r="D15" s="27"/>
      <c r="E15" s="27"/>
      <c r="F15" s="17"/>
      <c r="G15" s="17"/>
      <c r="H15" s="18"/>
      <c r="I15" s="19"/>
    </row>
    <row r="16" spans="1:9" x14ac:dyDescent="0.25">
      <c r="A16" s="32">
        <v>9</v>
      </c>
      <c r="B16" s="9">
        <v>46062</v>
      </c>
      <c r="C16" s="27"/>
      <c r="D16" s="27"/>
      <c r="E16" s="27"/>
      <c r="F16" s="17"/>
      <c r="G16" s="17"/>
      <c r="H16" s="18"/>
      <c r="I16" s="19"/>
    </row>
    <row r="17" spans="1:9" x14ac:dyDescent="0.25">
      <c r="A17" s="32">
        <v>10</v>
      </c>
      <c r="B17" s="9">
        <v>46063</v>
      </c>
      <c r="C17" s="27"/>
      <c r="D17" s="27"/>
      <c r="E17" s="27"/>
      <c r="F17" s="17"/>
      <c r="G17" s="17"/>
      <c r="H17" s="18"/>
      <c r="I17" s="19"/>
    </row>
    <row r="18" spans="1:9" x14ac:dyDescent="0.25">
      <c r="A18" s="8">
        <v>11</v>
      </c>
      <c r="B18" s="9">
        <v>46064</v>
      </c>
      <c r="C18" s="5"/>
      <c r="D18" s="5"/>
      <c r="E18" s="5"/>
      <c r="F18" s="16"/>
      <c r="G18" s="16"/>
      <c r="H18" s="10"/>
      <c r="I18" s="25"/>
    </row>
    <row r="19" spans="1:9" x14ac:dyDescent="0.25">
      <c r="A19" s="32">
        <v>12</v>
      </c>
      <c r="B19" s="9">
        <v>46065</v>
      </c>
      <c r="C19" s="27"/>
      <c r="D19" s="27"/>
      <c r="E19" s="27"/>
      <c r="F19" s="17"/>
      <c r="G19" s="17"/>
      <c r="H19" s="18"/>
      <c r="I19" s="19"/>
    </row>
    <row r="20" spans="1:9" x14ac:dyDescent="0.25">
      <c r="A20" s="32">
        <v>13</v>
      </c>
      <c r="B20" s="9">
        <v>46066</v>
      </c>
      <c r="C20" s="27"/>
      <c r="D20" s="27"/>
      <c r="E20" s="27"/>
      <c r="F20" s="17"/>
      <c r="G20" s="17"/>
      <c r="H20" s="18"/>
      <c r="I20" s="19"/>
    </row>
    <row r="21" spans="1:9" x14ac:dyDescent="0.25">
      <c r="A21" s="32">
        <v>14</v>
      </c>
      <c r="B21" s="9">
        <v>46067</v>
      </c>
      <c r="C21" s="27"/>
      <c r="D21" s="27"/>
      <c r="E21" s="27"/>
      <c r="F21" s="17"/>
      <c r="G21" s="17"/>
      <c r="H21" s="18"/>
      <c r="I21" s="19"/>
    </row>
    <row r="22" spans="1:9" x14ac:dyDescent="0.25">
      <c r="A22" s="32">
        <v>15</v>
      </c>
      <c r="B22" s="9">
        <v>46068</v>
      </c>
      <c r="C22" s="27"/>
      <c r="D22" s="27"/>
      <c r="E22" s="27"/>
      <c r="F22" s="17"/>
      <c r="G22" s="17"/>
      <c r="H22" s="18"/>
      <c r="I22" s="19"/>
    </row>
    <row r="23" spans="1:9" x14ac:dyDescent="0.25">
      <c r="A23" s="32">
        <v>16</v>
      </c>
      <c r="B23" s="9">
        <v>46069</v>
      </c>
      <c r="C23" s="27"/>
      <c r="D23" s="27"/>
      <c r="E23" s="27"/>
      <c r="F23" s="17"/>
      <c r="G23" s="17"/>
      <c r="H23" s="18"/>
      <c r="I23" s="19"/>
    </row>
    <row r="24" spans="1:9" x14ac:dyDescent="0.25">
      <c r="A24" s="32">
        <v>17</v>
      </c>
      <c r="B24" s="9">
        <v>46070</v>
      </c>
      <c r="C24" s="27"/>
      <c r="D24" s="27"/>
      <c r="E24" s="27"/>
      <c r="F24" s="17"/>
      <c r="G24" s="17"/>
      <c r="H24" s="18"/>
      <c r="I24" s="19"/>
    </row>
    <row r="25" spans="1:9" x14ac:dyDescent="0.25">
      <c r="A25" s="8">
        <v>18</v>
      </c>
      <c r="B25" s="9">
        <v>46071</v>
      </c>
      <c r="C25" s="5"/>
      <c r="D25" s="5"/>
      <c r="E25" s="5"/>
      <c r="F25" s="16"/>
      <c r="G25" s="16"/>
      <c r="H25" s="10"/>
      <c r="I25" s="25"/>
    </row>
    <row r="26" spans="1:9" x14ac:dyDescent="0.25">
      <c r="A26" s="32">
        <v>19</v>
      </c>
      <c r="B26" s="9">
        <v>46072</v>
      </c>
      <c r="C26" s="27"/>
      <c r="D26" s="27"/>
      <c r="E26" s="27"/>
      <c r="F26" s="17"/>
      <c r="G26" s="17"/>
      <c r="H26" s="18"/>
      <c r="I26" s="19"/>
    </row>
    <row r="27" spans="1:9" x14ac:dyDescent="0.25">
      <c r="A27" s="32">
        <v>20</v>
      </c>
      <c r="B27" s="9">
        <v>46073</v>
      </c>
      <c r="C27" s="27"/>
      <c r="D27" s="27"/>
      <c r="E27" s="27"/>
      <c r="F27" s="17"/>
      <c r="G27" s="17"/>
      <c r="H27" s="18"/>
      <c r="I27" s="19"/>
    </row>
    <row r="28" spans="1:9" x14ac:dyDescent="0.25">
      <c r="A28" s="32">
        <v>21</v>
      </c>
      <c r="B28" s="9">
        <v>46074</v>
      </c>
      <c r="C28" s="27"/>
      <c r="D28" s="27"/>
      <c r="E28" s="27"/>
      <c r="F28" s="17"/>
      <c r="G28" s="17"/>
      <c r="H28" s="18"/>
      <c r="I28" s="19"/>
    </row>
    <row r="29" spans="1:9" x14ac:dyDescent="0.25">
      <c r="A29" s="32">
        <v>22</v>
      </c>
      <c r="B29" s="9">
        <v>46075</v>
      </c>
      <c r="C29" s="27"/>
      <c r="D29" s="27"/>
      <c r="E29" s="27"/>
      <c r="F29" s="17"/>
      <c r="G29" s="17"/>
      <c r="H29" s="18"/>
      <c r="I29" s="19"/>
    </row>
    <row r="30" spans="1:9" x14ac:dyDescent="0.25">
      <c r="A30" s="32">
        <v>23</v>
      </c>
      <c r="B30" s="9">
        <v>46076</v>
      </c>
      <c r="C30" s="27"/>
      <c r="D30" s="27"/>
      <c r="E30" s="27"/>
      <c r="F30" s="17"/>
      <c r="G30" s="17"/>
      <c r="I30" s="19"/>
    </row>
    <row r="31" spans="1:9" x14ac:dyDescent="0.25">
      <c r="A31" s="32">
        <v>24</v>
      </c>
      <c r="B31" s="9">
        <v>46077</v>
      </c>
      <c r="C31" s="27"/>
      <c r="D31" s="27"/>
      <c r="E31" s="27"/>
      <c r="F31" s="17"/>
      <c r="G31" s="17"/>
      <c r="H31" s="18"/>
      <c r="I31" s="19"/>
    </row>
    <row r="32" spans="1:9" x14ac:dyDescent="0.25">
      <c r="A32" s="8">
        <v>25</v>
      </c>
      <c r="B32" s="9">
        <v>46078</v>
      </c>
      <c r="C32" s="5"/>
      <c r="D32" s="5"/>
      <c r="E32" s="5"/>
      <c r="F32" s="16"/>
      <c r="G32" s="16"/>
      <c r="H32" s="10"/>
      <c r="I32" s="25"/>
    </row>
    <row r="33" spans="1:9" x14ac:dyDescent="0.25">
      <c r="A33" s="32">
        <v>26</v>
      </c>
      <c r="B33" s="9">
        <v>46079</v>
      </c>
      <c r="C33" s="27"/>
      <c r="D33" s="27"/>
      <c r="E33" s="27"/>
      <c r="F33" s="17"/>
      <c r="G33" s="17"/>
      <c r="H33" s="18"/>
      <c r="I33" s="19"/>
    </row>
    <row r="34" spans="1:9" x14ac:dyDescent="0.25">
      <c r="A34" s="32">
        <v>27</v>
      </c>
      <c r="B34" s="9">
        <v>46080</v>
      </c>
      <c r="C34" s="27"/>
      <c r="D34" s="27"/>
      <c r="E34" s="27"/>
      <c r="F34" s="17"/>
      <c r="G34" s="17"/>
      <c r="H34" s="18"/>
      <c r="I34" s="19"/>
    </row>
    <row r="35" spans="1:9" x14ac:dyDescent="0.25">
      <c r="A35" s="32">
        <v>28</v>
      </c>
      <c r="B35" s="9">
        <v>46081</v>
      </c>
      <c r="C35" s="27"/>
      <c r="D35" s="27"/>
      <c r="E35" s="27"/>
      <c r="F35" s="17"/>
      <c r="G35" s="17"/>
      <c r="H35" s="18"/>
      <c r="I35" s="19"/>
    </row>
    <row r="36" spans="1:9" x14ac:dyDescent="0.25">
      <c r="A36" s="42"/>
      <c r="B36" s="36"/>
      <c r="C36" s="27" t="s">
        <v>18</v>
      </c>
      <c r="D36" s="27"/>
      <c r="E36" s="5">
        <f>SUM(E8:E35)</f>
        <v>0</v>
      </c>
      <c r="F36" s="27"/>
      <c r="G36" s="27"/>
      <c r="H36" s="10">
        <f>SUM(H8:H35)</f>
        <v>0</v>
      </c>
      <c r="I36" s="19"/>
    </row>
    <row r="37" spans="1:9" x14ac:dyDescent="0.25">
      <c r="A37" s="37" t="s">
        <v>19</v>
      </c>
      <c r="B37" s="38"/>
      <c r="C37" s="38"/>
      <c r="D37" s="38"/>
      <c r="E37" s="38"/>
      <c r="F37" s="38"/>
      <c r="G37" s="38"/>
      <c r="H37" s="38"/>
      <c r="I37" s="39"/>
    </row>
    <row r="38" spans="1:9" x14ac:dyDescent="0.25">
      <c r="A38" s="40" t="s">
        <v>20</v>
      </c>
      <c r="B38" s="41"/>
      <c r="C38" s="41"/>
      <c r="D38" s="36"/>
      <c r="E38" s="27">
        <v>3000</v>
      </c>
      <c r="F38" s="27">
        <v>30</v>
      </c>
      <c r="G38" s="27">
        <v>55000</v>
      </c>
      <c r="I38" s="34"/>
    </row>
    <row r="39" spans="1:9" x14ac:dyDescent="0.25">
      <c r="A39" s="40" t="s">
        <v>21</v>
      </c>
      <c r="B39" s="41"/>
      <c r="C39" s="41"/>
      <c r="D39" s="36"/>
      <c r="E39" s="27">
        <v>0</v>
      </c>
      <c r="F39" s="27">
        <v>12</v>
      </c>
      <c r="G39" s="27">
        <f>E39*F39</f>
        <v>0</v>
      </c>
      <c r="I39" s="34"/>
    </row>
    <row r="40" spans="1:9" x14ac:dyDescent="0.25">
      <c r="A40" s="40" t="s">
        <v>22</v>
      </c>
      <c r="B40" s="41"/>
      <c r="C40" s="41"/>
      <c r="D40" s="36"/>
      <c r="E40" s="18">
        <f>H36</f>
        <v>0</v>
      </c>
      <c r="F40" s="27">
        <v>50</v>
      </c>
      <c r="G40" s="27">
        <f>E40*F40</f>
        <v>0</v>
      </c>
      <c r="I40" s="34"/>
    </row>
    <row r="41" spans="1:9" x14ac:dyDescent="0.25">
      <c r="A41" s="40" t="s">
        <v>23</v>
      </c>
      <c r="B41" s="41"/>
      <c r="C41" s="41"/>
      <c r="D41" s="36"/>
      <c r="E41" s="18">
        <v>0</v>
      </c>
      <c r="F41" s="27">
        <v>500</v>
      </c>
      <c r="G41" s="27">
        <f>E41*F41</f>
        <v>0</v>
      </c>
      <c r="I41" s="34"/>
    </row>
    <row r="42" spans="1:9" x14ac:dyDescent="0.25">
      <c r="A42" s="40" t="s">
        <v>24</v>
      </c>
      <c r="B42" s="41"/>
      <c r="C42" s="41"/>
      <c r="D42" s="36"/>
      <c r="E42" s="27">
        <v>0</v>
      </c>
      <c r="F42" s="27">
        <v>500</v>
      </c>
      <c r="G42" s="27">
        <f>E42*F42</f>
        <v>0</v>
      </c>
      <c r="I42" s="34"/>
    </row>
    <row r="43" spans="1:9" x14ac:dyDescent="0.25">
      <c r="A43" s="40" t="s">
        <v>25</v>
      </c>
      <c r="B43" s="41"/>
      <c r="C43" s="41"/>
      <c r="D43" s="36"/>
      <c r="E43" s="27">
        <v>0</v>
      </c>
      <c r="F43" s="27">
        <v>400</v>
      </c>
      <c r="G43" s="27">
        <f>E43*F43</f>
        <v>0</v>
      </c>
      <c r="I43" s="34"/>
    </row>
    <row r="44" spans="1:9" x14ac:dyDescent="0.25">
      <c r="A44" s="40" t="s">
        <v>26</v>
      </c>
      <c r="B44" s="41"/>
      <c r="C44" s="41"/>
      <c r="D44" s="36"/>
      <c r="E44" s="27"/>
      <c r="F44" s="27"/>
      <c r="G44" s="27"/>
      <c r="I44" s="34"/>
    </row>
    <row r="45" spans="1:9" ht="15.75" customHeight="1" thickBot="1" x14ac:dyDescent="0.3">
      <c r="A45" s="53" t="s">
        <v>27</v>
      </c>
      <c r="B45" s="54"/>
      <c r="C45" s="54"/>
      <c r="D45" s="55"/>
      <c r="E45" s="14"/>
      <c r="F45" s="14"/>
      <c r="G45" s="15">
        <f>SUM(G38:G44)</f>
        <v>55000</v>
      </c>
      <c r="H45" s="11"/>
      <c r="I45" s="12"/>
    </row>
  </sheetData>
  <mergeCells count="21">
    <mergeCell ref="A45:D45"/>
    <mergeCell ref="A41:D41"/>
    <mergeCell ref="F5:I5"/>
    <mergeCell ref="I6:I7"/>
    <mergeCell ref="A1:I1"/>
    <mergeCell ref="A42:D42"/>
    <mergeCell ref="A2:I2"/>
    <mergeCell ref="E4:I4"/>
    <mergeCell ref="A5:C5"/>
    <mergeCell ref="A39:D39"/>
    <mergeCell ref="B6:B7"/>
    <mergeCell ref="A43:D43"/>
    <mergeCell ref="A3:I3"/>
    <mergeCell ref="A6:A7"/>
    <mergeCell ref="A44:D44"/>
    <mergeCell ref="A40:D40"/>
    <mergeCell ref="C6:D6"/>
    <mergeCell ref="A37:I37"/>
    <mergeCell ref="A38:D38"/>
    <mergeCell ref="A36:B36"/>
    <mergeCell ref="F6:G6"/>
  </mergeCells>
  <pageMargins left="0.7" right="0.7" top="0.75" bottom="0.75" header="0.3" footer="0.3"/>
  <pageSetup paperSize="9" scale="9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UP80JT4509</vt:lpstr>
      <vt:lpstr>UP80JT7912</vt:lpstr>
      <vt:lpstr>UP79AT9051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DEVESH</cp:lastModifiedBy>
  <cp:lastPrinted>2026-01-09T09:22:28Z</cp:lastPrinted>
  <dcterms:created xsi:type="dcterms:W3CDTF">2025-02-07T17:18:05Z</dcterms:created>
  <dcterms:modified xsi:type="dcterms:W3CDTF">2026-02-08T10:47:43Z</dcterms:modified>
</cp:coreProperties>
</file>